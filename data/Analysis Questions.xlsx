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5136AF8B-7C7E-4031-BA6F-5209926BE3A0}" xr6:coauthVersionLast="47" xr6:coauthVersionMax="47" xr10:uidLastSave="{00000000-0000-0000-0000-000000000000}"/>
  <bookViews>
    <workbookView xWindow="-108" yWindow="-108" windowWidth="23256" windowHeight="12576" xr2:uid="{EA3690AC-2E86-4665-B45D-6A67B93D3D6B}"/>
  </bookViews>
  <sheets>
    <sheet name="Sectoral_Allocation" sheetId="1" r:id="rId1"/>
    <sheet name="Debt_Servicing_Breakdown" sheetId="2" r:id="rId2"/>
    <sheet name="Debt_Trend" sheetId="3" r:id="rId3"/>
    <sheet name="Revenue_Credibility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19" i="1" l="1"/>
  <c r="K10" i="1"/>
  <c r="K14" i="1"/>
  <c r="K15" i="1"/>
  <c r="K18" i="1"/>
  <c r="K20" i="1"/>
  <c r="K21" i="1"/>
  <c r="K24" i="1"/>
  <c r="K25" i="1"/>
  <c r="K26" i="1"/>
  <c r="K29" i="1"/>
  <c r="K30" i="1"/>
  <c r="E3" i="4"/>
  <c r="E4" i="4"/>
  <c r="E5" i="4"/>
  <c r="E6" i="4"/>
  <c r="E7" i="4"/>
  <c r="E8" i="4"/>
  <c r="E9" i="4"/>
  <c r="E10" i="4"/>
  <c r="E11" i="4"/>
  <c r="E2" i="4"/>
  <c r="K9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2" i="1"/>
</calcChain>
</file>

<file path=xl/sharedStrings.xml><?xml version="1.0" encoding="utf-8"?>
<sst xmlns="http://schemas.openxmlformats.org/spreadsheetml/2006/main" count="82" uniqueCount="56">
  <si>
    <t>Sector</t>
  </si>
  <si>
    <t>Total</t>
  </si>
  <si>
    <t>Personnel</t>
  </si>
  <si>
    <t>Overhead</t>
  </si>
  <si>
    <t>Capital</t>
  </si>
  <si>
    <t>Pct</t>
  </si>
  <si>
    <t>Category</t>
  </si>
  <si>
    <t>Debt Service &amp; Sinking Fund</t>
  </si>
  <si>
    <t>Non-Developmental</t>
  </si>
  <si>
    <t>Capital Expenditure</t>
  </si>
  <si>
    <t>Recurrent Non-Debt</t>
  </si>
  <si>
    <t>Recurrent</t>
  </si>
  <si>
    <t>Statutory Transfers</t>
  </si>
  <si>
    <t>Statutory</t>
  </si>
  <si>
    <t>Security &amp; Defence</t>
  </si>
  <si>
    <t>Security</t>
  </si>
  <si>
    <t>Infrastructure</t>
  </si>
  <si>
    <t>Education</t>
  </si>
  <si>
    <t>Social</t>
  </si>
  <si>
    <t>Health</t>
  </si>
  <si>
    <t>Agriculture</t>
  </si>
  <si>
    <t>Economic</t>
  </si>
  <si>
    <t>Science &amp; Technology</t>
  </si>
  <si>
    <t>Women Affairs</t>
  </si>
  <si>
    <t>Digital Economy</t>
  </si>
  <si>
    <t>Industry Trade &amp; Investment</t>
  </si>
  <si>
    <t>Solid Minerals</t>
  </si>
  <si>
    <t>Debt Type</t>
  </si>
  <si>
    <t>Amount</t>
  </si>
  <si>
    <t>Domestic Debt (incl. Ways &amp; Means)</t>
  </si>
  <si>
    <t>Foreign Debt</t>
  </si>
  <si>
    <t>Sinking Fund</t>
  </si>
  <si>
    <t>Year</t>
  </si>
  <si>
    <t>Status</t>
  </si>
  <si>
    <t>Actual</t>
  </si>
  <si>
    <t>Approved budget</t>
  </si>
  <si>
    <t>Proposed budget</t>
  </si>
  <si>
    <t>Approved</t>
  </si>
  <si>
    <t>Achievement %</t>
  </si>
  <si>
    <t>Rank</t>
  </si>
  <si>
    <t>Question 2: Debt Servicing Analysis</t>
  </si>
  <si>
    <t>Debt as % of Budget</t>
  </si>
  <si>
    <t xml:space="preserve">Education + Health </t>
  </si>
  <si>
    <t>Question 3: Is debt servicing larger than education?</t>
  </si>
  <si>
    <t>Debt / Education</t>
  </si>
  <si>
    <t>Debt / Health</t>
  </si>
  <si>
    <t xml:space="preserve"> </t>
  </si>
  <si>
    <t>Question 4:Which sectors got surprisingly low funding?</t>
  </si>
  <si>
    <t>Question 5: Is recurrent spending larger than capital spending?</t>
  </si>
  <si>
    <t>Recurrent + Debt</t>
  </si>
  <si>
    <t>Capital Spending</t>
  </si>
  <si>
    <t>Question 6: Does the budget match Nigeria's biggest problems?</t>
  </si>
  <si>
    <t>Shortfall_NGN_Tn</t>
  </si>
  <si>
    <t>Education gap</t>
  </si>
  <si>
    <t>UNESCO minimum recommendation</t>
  </si>
  <si>
    <t>Question 1: Which Sector got the most money?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</si>
</sst>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2" fontId="0" fillId="0" borderId="0" xfId="0" applyNumberFormat="1"/>
    <xf numFmtId="0" fontId="2" fillId="0" borderId="0" xfId="0" applyFont="1"/>
    <xf numFmtId="0" fontId="1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045C1E-58DD-4023-BB5F-694DD2D84D0E}">
  <dimension ref="A1:K30"/>
  <sheetViews>
    <sheetView tabSelected="1" topLeftCell="A3" workbookViewId="0">
      <selection activeCell="L19" sqref="L19"/>
    </sheetView>
  </sheetViews>
  <sheetFormatPr defaultRowHeight="13.8"/>
  <cols>
    <col min="1" max="1" width="19.5" bestFit="1" customWidth="1"/>
    <col min="2" max="2" width="5.59765625" bestFit="1" customWidth="1"/>
    <col min="3" max="3" width="10.09765625" bestFit="1" customWidth="1"/>
    <col min="4" max="4" width="9.69921875" bestFit="1" customWidth="1"/>
    <col min="5" max="5" width="7.3984375" bestFit="1" customWidth="1"/>
    <col min="6" max="6" width="5.59765625" bestFit="1" customWidth="1"/>
    <col min="10" max="10" width="42.69921875" bestFit="1" customWidth="1"/>
    <col min="11" max="11" width="9.3984375" bestFit="1" customWidth="1"/>
  </cols>
  <sheetData>
    <row r="1" spans="1:11" ht="27.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39</v>
      </c>
      <c r="J1" s="1"/>
    </row>
    <row r="2" spans="1:11" ht="41.4">
      <c r="A2" s="2" t="s">
        <v>7</v>
      </c>
      <c r="B2" s="2">
        <v>15.91</v>
      </c>
      <c r="C2" s="2"/>
      <c r="D2" s="2"/>
      <c r="E2" s="2"/>
      <c r="F2" s="2">
        <v>27.21</v>
      </c>
      <c r="G2" s="2" t="s">
        <v>8</v>
      </c>
      <c r="H2">
        <f>RANK(B2, $B$2:$B$15, 0)</f>
        <v>2</v>
      </c>
      <c r="J2" s="4" t="s">
        <v>55</v>
      </c>
      <c r="K2" s="4"/>
    </row>
    <row r="3" spans="1:11">
      <c r="A3" s="2" t="s">
        <v>9</v>
      </c>
      <c r="B3" s="2">
        <v>23.21</v>
      </c>
      <c r="C3" s="2"/>
      <c r="D3" s="2"/>
      <c r="E3" s="2"/>
      <c r="F3" s="2">
        <v>39.700000000000003</v>
      </c>
      <c r="G3" s="2" t="s">
        <v>4</v>
      </c>
      <c r="H3">
        <f>RANK(B3, $B$2:$B$15, 0)</f>
        <v>1</v>
      </c>
      <c r="J3" s="4" t="s">
        <v>0</v>
      </c>
      <c r="K3" s="4" t="s">
        <v>39</v>
      </c>
    </row>
    <row r="4" spans="1:11">
      <c r="A4" s="2" t="s">
        <v>10</v>
      </c>
      <c r="B4" s="2">
        <v>15.25</v>
      </c>
      <c r="C4" s="2"/>
      <c r="D4" s="2"/>
      <c r="E4" s="2"/>
      <c r="F4" s="2">
        <v>26.08</v>
      </c>
      <c r="G4" s="2" t="s">
        <v>11</v>
      </c>
      <c r="H4">
        <f>RANK(B4, $B$2:$B$15, 0)</f>
        <v>3</v>
      </c>
      <c r="J4" t="s">
        <v>9</v>
      </c>
      <c r="K4">
        <v>1</v>
      </c>
    </row>
    <row r="5" spans="1:11">
      <c r="A5" s="2" t="s">
        <v>12</v>
      </c>
      <c r="B5" s="2">
        <v>4.09</v>
      </c>
      <c r="C5" s="2"/>
      <c r="D5" s="2"/>
      <c r="E5" s="2"/>
      <c r="F5" s="2">
        <v>7.01</v>
      </c>
      <c r="G5" s="2" t="s">
        <v>13</v>
      </c>
      <c r="H5">
        <f>RANK(B5, $B$2:$B$15, 0)</f>
        <v>6</v>
      </c>
      <c r="J5" t="s">
        <v>7</v>
      </c>
      <c r="K5">
        <v>2</v>
      </c>
    </row>
    <row r="6" spans="1:11">
      <c r="A6" s="2" t="s">
        <v>14</v>
      </c>
      <c r="B6" s="2">
        <v>6.69</v>
      </c>
      <c r="C6" s="2">
        <v>4.42</v>
      </c>
      <c r="D6" s="2">
        <v>0.57999999999999996</v>
      </c>
      <c r="E6" s="2">
        <v>0.85</v>
      </c>
      <c r="F6" s="2">
        <v>11.44</v>
      </c>
      <c r="G6" s="2" t="s">
        <v>15</v>
      </c>
      <c r="H6">
        <f>RANK(B6, $B$2:$B$15, 0)</f>
        <v>4</v>
      </c>
      <c r="J6" t="s">
        <v>10</v>
      </c>
      <c r="K6">
        <v>3</v>
      </c>
    </row>
    <row r="7" spans="1:11">
      <c r="A7" s="2" t="s">
        <v>16</v>
      </c>
      <c r="B7" s="2">
        <v>5.71</v>
      </c>
      <c r="C7" s="2"/>
      <c r="D7" s="2"/>
      <c r="E7" s="2"/>
      <c r="F7" s="2">
        <v>9.77</v>
      </c>
      <c r="G7" s="2" t="s">
        <v>4</v>
      </c>
      <c r="H7">
        <f>RANK(B7, $B$2:$B$15, 0)</f>
        <v>5</v>
      </c>
    </row>
    <row r="8" spans="1:11">
      <c r="A8" s="2" t="s">
        <v>17</v>
      </c>
      <c r="B8" s="2">
        <v>2.56</v>
      </c>
      <c r="C8" s="2">
        <v>1.68</v>
      </c>
      <c r="D8" s="2">
        <v>0.13</v>
      </c>
      <c r="E8" s="2">
        <v>0.59</v>
      </c>
      <c r="F8" s="2">
        <v>4.38</v>
      </c>
      <c r="G8" s="2" t="s">
        <v>18</v>
      </c>
      <c r="H8">
        <f>RANK(B8, $B$2:$B$15, 0)</f>
        <v>7</v>
      </c>
      <c r="J8" s="5" t="s">
        <v>40</v>
      </c>
      <c r="K8" s="3"/>
    </row>
    <row r="9" spans="1:11">
      <c r="A9" s="2" t="s">
        <v>19</v>
      </c>
      <c r="B9" s="2">
        <v>2.46</v>
      </c>
      <c r="C9" s="2">
        <v>1.17</v>
      </c>
      <c r="D9" s="2">
        <v>0.05</v>
      </c>
      <c r="E9" s="2">
        <v>0.92</v>
      </c>
      <c r="F9" s="2">
        <v>4.2</v>
      </c>
      <c r="G9" s="2" t="s">
        <v>18</v>
      </c>
      <c r="H9">
        <f>RANK(B9, $B$2:$B$15, 0)</f>
        <v>8</v>
      </c>
      <c r="J9" t="s">
        <v>41</v>
      </c>
      <c r="K9" s="3">
        <f>B2/58.47*100</f>
        <v>27.210535317256713</v>
      </c>
    </row>
    <row r="10" spans="1:11">
      <c r="A10" s="2" t="s">
        <v>20</v>
      </c>
      <c r="B10" s="2">
        <v>1.47</v>
      </c>
      <c r="C10" s="2"/>
      <c r="D10" s="2"/>
      <c r="E10" s="2"/>
      <c r="F10" s="2">
        <v>2.52</v>
      </c>
      <c r="G10" s="2" t="s">
        <v>21</v>
      </c>
      <c r="H10">
        <f>RANK(B10, $B$2:$B$15, 0)</f>
        <v>9</v>
      </c>
      <c r="J10" t="s">
        <v>42</v>
      </c>
      <c r="K10">
        <f>SUM(B8+B9)</f>
        <v>5.0199999999999996</v>
      </c>
    </row>
    <row r="11" spans="1:11">
      <c r="A11" s="2" t="s">
        <v>22</v>
      </c>
      <c r="B11" s="2">
        <v>0.84</v>
      </c>
      <c r="C11" s="2"/>
      <c r="D11" s="2"/>
      <c r="E11" s="2"/>
      <c r="F11" s="2">
        <v>1.43</v>
      </c>
      <c r="G11" s="2" t="s">
        <v>4</v>
      </c>
      <c r="H11">
        <f>RANK(B11, $B$2:$B$15, 0)</f>
        <v>10</v>
      </c>
      <c r="J11" t="s">
        <v>41</v>
      </c>
    </row>
    <row r="12" spans="1:11">
      <c r="A12" s="2" t="s">
        <v>23</v>
      </c>
      <c r="B12" s="2">
        <v>0.15</v>
      </c>
      <c r="C12" s="2"/>
      <c r="D12" s="2"/>
      <c r="E12" s="2"/>
      <c r="F12" s="2">
        <v>0.26</v>
      </c>
      <c r="G12" s="2" t="s">
        <v>18</v>
      </c>
      <c r="H12">
        <f>RANK(B12, $B$2:$B$15, 0)</f>
        <v>12</v>
      </c>
    </row>
    <row r="13" spans="1:11">
      <c r="A13" s="2" t="s">
        <v>24</v>
      </c>
      <c r="B13" s="2">
        <v>0.08</v>
      </c>
      <c r="C13" s="2"/>
      <c r="D13" s="2"/>
      <c r="E13" s="2"/>
      <c r="F13" s="2">
        <v>0.14000000000000001</v>
      </c>
      <c r="G13" s="2" t="s">
        <v>21</v>
      </c>
      <c r="H13">
        <f>RANK(B13, $B$2:$B$15, 0)</f>
        <v>14</v>
      </c>
      <c r="J13" s="4" t="s">
        <v>43</v>
      </c>
    </row>
    <row r="14" spans="1:11" ht="27.6">
      <c r="A14" s="2" t="s">
        <v>25</v>
      </c>
      <c r="B14" s="2">
        <v>0.09</v>
      </c>
      <c r="C14" s="2"/>
      <c r="D14" s="2"/>
      <c r="E14" s="2"/>
      <c r="F14" s="2">
        <v>0.15</v>
      </c>
      <c r="G14" s="2" t="s">
        <v>21</v>
      </c>
      <c r="H14">
        <f>RANK(B14, $B$2:$B$15, 0)</f>
        <v>13</v>
      </c>
      <c r="J14" s="3" t="s">
        <v>44</v>
      </c>
      <c r="K14" s="3">
        <f>B2/B8</f>
        <v>6.21484375</v>
      </c>
    </row>
    <row r="15" spans="1:11">
      <c r="A15" s="2" t="s">
        <v>26</v>
      </c>
      <c r="B15" s="2">
        <v>0.16</v>
      </c>
      <c r="C15" s="2"/>
      <c r="D15" s="2"/>
      <c r="E15" s="2"/>
      <c r="F15" s="2">
        <v>0.27</v>
      </c>
      <c r="G15" s="2" t="s">
        <v>21</v>
      </c>
      <c r="H15">
        <f>RANK(B15, $B$2:$B$15, 0)</f>
        <v>11</v>
      </c>
      <c r="J15" t="s">
        <v>45</v>
      </c>
      <c r="K15" s="3">
        <f>B2/B9</f>
        <v>6.4674796747967482</v>
      </c>
    </row>
    <row r="16" spans="1:11">
      <c r="K16" t="s">
        <v>46</v>
      </c>
    </row>
    <row r="17" spans="10:11">
      <c r="J17" s="4" t="s">
        <v>47</v>
      </c>
    </row>
    <row r="18" spans="10:11">
      <c r="J18" t="s">
        <v>24</v>
      </c>
      <c r="K18">
        <f>B13</f>
        <v>0.08</v>
      </c>
    </row>
    <row r="19" spans="10:11">
      <c r="J19" t="s">
        <v>23</v>
      </c>
      <c r="K19">
        <f>B12</f>
        <v>0.15</v>
      </c>
    </row>
    <row r="20" spans="10:11">
      <c r="J20" t="s">
        <v>26</v>
      </c>
      <c r="K20">
        <f>B15</f>
        <v>0.16</v>
      </c>
    </row>
    <row r="21" spans="10:11">
      <c r="J21" t="s">
        <v>25</v>
      </c>
      <c r="K21">
        <f>B14</f>
        <v>0.09</v>
      </c>
    </row>
    <row r="23" spans="10:11">
      <c r="J23" s="4" t="s">
        <v>48</v>
      </c>
    </row>
    <row r="24" spans="10:11">
      <c r="J24" t="s">
        <v>49</v>
      </c>
      <c r="K24">
        <f>B2+B4</f>
        <v>31.16</v>
      </c>
    </row>
    <row r="25" spans="10:11">
      <c r="J25" t="s">
        <v>50</v>
      </c>
      <c r="K25">
        <f>B3</f>
        <v>23.21</v>
      </c>
    </row>
    <row r="26" spans="10:11">
      <c r="J26" t="s">
        <v>49</v>
      </c>
      <c r="K26" s="3">
        <f>(B2+B4)/B3</f>
        <v>1.3425247738043946</v>
      </c>
    </row>
    <row r="28" spans="10:11">
      <c r="J28" s="4" t="s">
        <v>51</v>
      </c>
    </row>
    <row r="29" spans="10:11">
      <c r="J29" t="s">
        <v>54</v>
      </c>
      <c r="K29" s="3">
        <f>15/100*58.47</f>
        <v>8.7705000000000002</v>
      </c>
    </row>
    <row r="30" spans="10:11">
      <c r="J30" t="s">
        <v>53</v>
      </c>
      <c r="K30">
        <f>8.77-B8</f>
        <v>6.2099999999999991</v>
      </c>
    </row>
  </sheetData>
  <pageMargins left="0.7" right="0.7" top="0.75" bottom="0.75" header="0.3" footer="0.3"/>
  <pageSetup orientation="portrait" r:id="rId1"/>
  <ignoredErrors>
    <ignoredError sqref="K19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29C3F3-5F65-49DD-8EE3-0A4006609CB5}">
  <dimension ref="A1:C5"/>
  <sheetViews>
    <sheetView workbookViewId="0">
      <selection activeCell="D8" sqref="D8"/>
    </sheetView>
  </sheetViews>
  <sheetFormatPr defaultColWidth="19.09765625" defaultRowHeight="13.8"/>
  <cols>
    <col min="1" max="1" width="19" bestFit="1" customWidth="1"/>
    <col min="2" max="2" width="8" bestFit="1" customWidth="1"/>
    <col min="3" max="3" width="5.59765625" bestFit="1" customWidth="1"/>
  </cols>
  <sheetData>
    <row r="1" spans="1:3" ht="15">
      <c r="A1" s="1" t="s">
        <v>27</v>
      </c>
      <c r="B1" s="1" t="s">
        <v>28</v>
      </c>
      <c r="C1" s="1" t="s">
        <v>5</v>
      </c>
    </row>
    <row r="2" spans="1:3" ht="30">
      <c r="A2" s="2" t="s">
        <v>29</v>
      </c>
      <c r="B2" s="2">
        <v>10.16</v>
      </c>
      <c r="C2" s="2">
        <v>63.86</v>
      </c>
    </row>
    <row r="3" spans="1:3" ht="15">
      <c r="A3" s="2" t="s">
        <v>30</v>
      </c>
      <c r="B3" s="2">
        <v>5.36</v>
      </c>
      <c r="C3" s="2">
        <v>33.69</v>
      </c>
    </row>
    <row r="4" spans="1:3" ht="15">
      <c r="A4" s="2" t="s">
        <v>31</v>
      </c>
      <c r="B4" s="2">
        <v>0.39</v>
      </c>
      <c r="C4" s="2">
        <v>2.4500000000000002</v>
      </c>
    </row>
    <row r="5" spans="1:3" ht="15">
      <c r="A5" s="2" t="s">
        <v>1</v>
      </c>
      <c r="B5" s="2">
        <v>15.91</v>
      </c>
      <c r="C5" s="2">
        <v>100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9D998F-1996-49E6-96F7-F2ACC8398A6F}">
  <dimension ref="A1:C6"/>
  <sheetViews>
    <sheetView workbookViewId="0">
      <selection sqref="A1:XFD1048576"/>
    </sheetView>
  </sheetViews>
  <sheetFormatPr defaultColWidth="18.69921875" defaultRowHeight="13.8"/>
  <cols>
    <col min="1" max="1" width="5" bestFit="1" customWidth="1"/>
    <col min="2" max="2" width="7.8984375" bestFit="1" customWidth="1"/>
    <col min="3" max="3" width="16" bestFit="1" customWidth="1"/>
  </cols>
  <sheetData>
    <row r="1" spans="1:3">
      <c r="A1" t="s">
        <v>32</v>
      </c>
      <c r="B1" t="s">
        <v>28</v>
      </c>
      <c r="C1" t="s">
        <v>33</v>
      </c>
    </row>
    <row r="2" spans="1:3">
      <c r="A2">
        <v>2022</v>
      </c>
      <c r="B2">
        <v>3.76</v>
      </c>
      <c r="C2" t="s">
        <v>34</v>
      </c>
    </row>
    <row r="3" spans="1:3">
      <c r="A3">
        <v>2023</v>
      </c>
      <c r="B3">
        <v>6.86</v>
      </c>
      <c r="C3" t="s">
        <v>34</v>
      </c>
    </row>
    <row r="4" spans="1:3">
      <c r="A4">
        <v>2024</v>
      </c>
      <c r="B4">
        <v>12.36</v>
      </c>
      <c r="C4" t="s">
        <v>34</v>
      </c>
    </row>
    <row r="5" spans="1:3">
      <c r="A5">
        <v>2025</v>
      </c>
      <c r="B5">
        <v>13.43</v>
      </c>
      <c r="C5" t="s">
        <v>35</v>
      </c>
    </row>
    <row r="6" spans="1:3">
      <c r="A6">
        <v>2026</v>
      </c>
      <c r="B6">
        <v>15.91</v>
      </c>
      <c r="C6" t="s">
        <v>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7713F-C0B9-4384-91FA-38597846078B}">
  <dimension ref="A1:E11"/>
  <sheetViews>
    <sheetView workbookViewId="0">
      <selection activeCell="E2" sqref="E2:E11"/>
    </sheetView>
  </sheetViews>
  <sheetFormatPr defaultColWidth="14.59765625" defaultRowHeight="13.8"/>
  <cols>
    <col min="5" max="5" width="20.09765625" customWidth="1"/>
  </cols>
  <sheetData>
    <row r="1" spans="1:5" ht="27.6">
      <c r="A1" s="1" t="s">
        <v>32</v>
      </c>
      <c r="B1" s="1" t="s">
        <v>37</v>
      </c>
      <c r="C1" s="1" t="s">
        <v>34</v>
      </c>
      <c r="D1" s="1" t="s">
        <v>38</v>
      </c>
      <c r="E1" s="1" t="s">
        <v>52</v>
      </c>
    </row>
    <row r="2" spans="1:5" ht="15">
      <c r="A2" s="2">
        <v>2017</v>
      </c>
      <c r="B2" s="2">
        <v>5.08</v>
      </c>
      <c r="C2" s="2">
        <v>2.66</v>
      </c>
      <c r="D2" s="2">
        <v>52.4</v>
      </c>
      <c r="E2">
        <f>B2-C2</f>
        <v>2.42</v>
      </c>
    </row>
    <row r="3" spans="1:5" ht="15">
      <c r="A3" s="2">
        <v>2018</v>
      </c>
      <c r="B3" s="2">
        <v>7.17</v>
      </c>
      <c r="C3" s="2">
        <v>3.87</v>
      </c>
      <c r="D3" s="2">
        <v>54</v>
      </c>
      <c r="E3">
        <f t="shared" ref="E3:E11" si="0">B3-C3</f>
        <v>3.3</v>
      </c>
    </row>
    <row r="4" spans="1:5" ht="15">
      <c r="A4" s="2">
        <v>2019</v>
      </c>
      <c r="B4" s="2">
        <v>6.99</v>
      </c>
      <c r="C4" s="2">
        <v>4.12</v>
      </c>
      <c r="D4" s="2">
        <v>58.9</v>
      </c>
      <c r="E4">
        <f t="shared" si="0"/>
        <v>2.87</v>
      </c>
    </row>
    <row r="5" spans="1:5" ht="15">
      <c r="A5" s="2">
        <v>2020</v>
      </c>
      <c r="B5" s="2">
        <v>5.84</v>
      </c>
      <c r="C5" s="2">
        <v>2.5499999999999998</v>
      </c>
      <c r="D5" s="2">
        <v>43.7</v>
      </c>
      <c r="E5">
        <f t="shared" si="0"/>
        <v>3.29</v>
      </c>
    </row>
    <row r="6" spans="1:5" ht="15">
      <c r="A6" s="2">
        <v>2021</v>
      </c>
      <c r="B6" s="2">
        <v>6.64</v>
      </c>
      <c r="C6" s="2">
        <v>4.17</v>
      </c>
      <c r="D6" s="2">
        <v>62.8</v>
      </c>
      <c r="E6">
        <f t="shared" si="0"/>
        <v>2.4699999999999998</v>
      </c>
    </row>
    <row r="7" spans="1:5" ht="15">
      <c r="A7" s="2">
        <v>2022</v>
      </c>
      <c r="B7" s="2">
        <v>9.9700000000000006</v>
      </c>
      <c r="C7" s="2">
        <v>7.76</v>
      </c>
      <c r="D7" s="2">
        <v>77.8</v>
      </c>
      <c r="E7">
        <f t="shared" si="0"/>
        <v>2.2100000000000009</v>
      </c>
    </row>
    <row r="8" spans="1:5" ht="15">
      <c r="A8" s="2">
        <v>2023</v>
      </c>
      <c r="B8" s="2">
        <v>11.05</v>
      </c>
      <c r="C8" s="2">
        <v>12.48</v>
      </c>
      <c r="D8" s="2">
        <v>113</v>
      </c>
      <c r="E8">
        <f t="shared" si="0"/>
        <v>-1.4299999999999997</v>
      </c>
    </row>
    <row r="9" spans="1:5" ht="15">
      <c r="A9" s="2">
        <v>2024</v>
      </c>
      <c r="B9" s="2">
        <v>25.88</v>
      </c>
      <c r="C9" s="2">
        <v>20.98</v>
      </c>
      <c r="D9" s="2">
        <v>81.099999999999994</v>
      </c>
      <c r="E9">
        <f t="shared" si="0"/>
        <v>4.8999999999999986</v>
      </c>
    </row>
    <row r="10" spans="1:5" ht="15">
      <c r="A10" s="2">
        <v>2025</v>
      </c>
      <c r="B10" s="2">
        <v>36.35</v>
      </c>
      <c r="C10" s="2">
        <v>10.92</v>
      </c>
      <c r="D10" s="2">
        <v>30.1</v>
      </c>
      <c r="E10">
        <f t="shared" si="0"/>
        <v>25.43</v>
      </c>
    </row>
    <row r="11" spans="1:5" ht="15">
      <c r="A11" s="2">
        <v>2026</v>
      </c>
      <c r="B11" s="2">
        <v>33.19</v>
      </c>
      <c r="C11" s="2"/>
      <c r="D11" s="2"/>
      <c r="E11">
        <f t="shared" si="0"/>
        <v>33.19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Sectoral_Allocation</vt:lpstr>
      <vt:lpstr>Debt_Servicing_Breakdown</vt:lpstr>
      <vt:lpstr>Debt_Trend</vt:lpstr>
      <vt:lpstr>Revenue_Credibility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balogun taofeekat</dc:creator>
  <cp:lastModifiedBy>Rebecca Adekunjo</cp:lastModifiedBy>
  <dcterms:created xsi:type="dcterms:W3CDTF">2026-05-10T21:03:01Z</dcterms:created>
  <dcterms:modified xsi:type="dcterms:W3CDTF">2026-05-11T06:05:58Z</dcterms:modified>
</cp:coreProperties>
</file>